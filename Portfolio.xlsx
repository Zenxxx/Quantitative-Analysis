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480" yWindow="5160" windowWidth="29040" windowHeight="15720" tabRatio="600" firstSheet="0" activeTab="6" autoFilterDateGrouping="1"/>
  </bookViews>
  <sheets>
    <sheet name="README" sheetId="1" state="visible" r:id="rId1"/>
    <sheet name="Transactions" sheetId="2" state="visible" r:id="rId2"/>
    <sheet name="Map" sheetId="3" state="visible" r:id="rId3"/>
    <sheet name="Prices" sheetId="4" state="visible" r:id="rId4"/>
    <sheet name="Dividends" sheetId="5" state="visible" r:id="rId5"/>
    <sheet name="Positions" sheetId="6" state="visible" r:id="rId6"/>
    <sheet name="Analytic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ＭＳ Ｐゴシック"/>
      <family val="2"/>
      <b val="1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ＭＳ Ｐゴシック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10" fontId="0" fillId="0" borderId="0" pivotButton="0" quotePrefix="0" xfId="0"/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opLeftCell="A3" workbookViewId="0">
      <selection activeCell="B61" sqref="B61"/>
    </sheetView>
  </sheetViews>
  <sheetFormatPr baseColWidth="8" defaultRowHeight="13.5"/>
  <cols>
    <col width="18.75" customWidth="1" min="1" max="16"/>
  </cols>
  <sheetData>
    <row r="1" customFormat="1" s="1">
      <c r="A1" s="2" t="inlineStr">
        <is>
          <t>項目</t>
        </is>
      </c>
      <c r="B1" s="2" t="inlineStr">
        <is>
          <t>内容</t>
        </is>
      </c>
    </row>
    <row r="2">
      <c r="A2" t="inlineStr">
        <is>
          <t>このファイルの目的</t>
        </is>
      </c>
      <c r="B2" t="inlineStr">
        <is>
          <t>個人投資の『元帳（Transactions）→評価（Holdings）→配当（Dividends）→分析（Analytics）』を一元管理するためのテンプレートです。</t>
        </is>
      </c>
    </row>
    <row r="3">
      <c r="A3" t="inlineStr">
        <is>
          <t>使い方（最短）</t>
        </is>
      </c>
      <c r="B3" t="inlineStr">
        <is>
          <t>1) Transactionsに取引を追加（買/売/配当/手数料）。
2) Pricesに『現在値』と『為替レート』を入力。
3) Holdingsで評価額・損益を確認。
4) Dividendsで配当の年次合計を確認。
※ 現在値・為替は自動取得しません（手入力 or 後でAPI連携拡張）。</t>
        </is>
      </c>
    </row>
    <row r="4">
      <c r="A4" t="inlineStr">
        <is>
          <t>重要ルール</t>
        </is>
      </c>
      <c r="B4" t="inlineStr">
        <is>
          <t>・Transactionsが唯一の“元データ”。他シートは参照のみ。
・為替（FX to EUR）は約定日のレートを確定値として記録してください（後から変えない）。
・Average Costは簡易法（買い注文の加重平均）。厳密な税ロット（FIFO/LIFO）はTransactionsで管理してください。</t>
        </is>
      </c>
    </row>
    <row r="5">
      <c r="A5" t="inlineStr">
        <is>
          <t>拡張のヒント（後でPython化）</t>
        </is>
      </c>
      <c r="B5" t="inlineStr">
        <is>
          <t>・VaR/ESや効率的フロンティアはPython（pandas/numpy）に渡すと高速・高精度。
・APIで価格・為替を自動更新し、AnalyticsのXIRRまで自動化可能。</t>
        </is>
      </c>
    </row>
    <row r="6">
      <c r="A6" t="inlineStr">
        <is>
          <t>注意</t>
        </is>
      </c>
      <c r="B6" t="inlineStr">
        <is>
          <t>Excel関数は英語名（SUMIFS/XLOOKUPなど）で記述。Excelの表示言語がドイツ語/日本語でも内部的に動作します。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M3" sqref="M3"/>
    </sheetView>
  </sheetViews>
  <sheetFormatPr baseColWidth="8" defaultRowHeight="13.5"/>
  <cols>
    <col width="18.75" customWidth="1" min="1" max="3"/>
    <col width="35.625" bestFit="1" customWidth="1" min="4" max="4"/>
    <col width="18.75" customWidth="1" min="5" max="13"/>
    <col width="17" bestFit="1" customWidth="1" min="14" max="14"/>
    <col width="18.75" customWidth="1" min="15" max="15"/>
  </cols>
  <sheetData>
    <row r="1" customFormat="1" s="1">
      <c r="A1" s="2" t="inlineStr">
        <is>
          <t>Date</t>
        </is>
      </c>
      <c r="B1" s="2" t="inlineStr">
        <is>
          <t>Action</t>
        </is>
      </c>
      <c r="C1" s="2" t="inlineStr">
        <is>
          <t>Type</t>
        </is>
      </c>
      <c r="D1" s="2" t="inlineStr">
        <is>
          <t>Ticker</t>
        </is>
      </c>
      <c r="E1" s="2" t="inlineStr">
        <is>
          <t>ISIN</t>
        </is>
      </c>
      <c r="F1" s="2" t="inlineStr">
        <is>
          <t>Exchange</t>
        </is>
      </c>
      <c r="G1" s="2" t="inlineStr">
        <is>
          <t>Qty</t>
        </is>
      </c>
      <c r="H1" s="2" t="inlineStr">
        <is>
          <t>Price (Local)</t>
        </is>
      </c>
      <c r="I1" s="2" t="inlineStr">
        <is>
          <t>Currency</t>
        </is>
      </c>
      <c r="J1" s="2" t="inlineStr">
        <is>
          <t>FX to EUR</t>
        </is>
      </c>
      <c r="K1" s="2" t="inlineStr">
        <is>
          <t>Price (EUR)</t>
        </is>
      </c>
      <c r="L1" s="2" t="inlineStr">
        <is>
          <t>Fees (EUR)</t>
        </is>
      </c>
      <c r="M1" s="2" t="inlineStr">
        <is>
          <t>Total (EUR)</t>
        </is>
      </c>
      <c r="N1" s="2" t="inlineStr">
        <is>
          <t>CashFlow (EUR)</t>
        </is>
      </c>
    </row>
    <row r="2">
      <c r="A2" s="4" t="n">
        <v>45957</v>
      </c>
      <c r="B2" t="inlineStr">
        <is>
          <t>Buy</t>
        </is>
      </c>
      <c r="C2" t="inlineStr">
        <is>
          <t>Stocks</t>
        </is>
      </c>
      <c r="D2" t="inlineStr">
        <is>
          <t>BMW</t>
        </is>
      </c>
      <c r="E2" t="inlineStr">
        <is>
          <t>DE0005190003</t>
        </is>
      </c>
      <c r="F2" t="inlineStr">
        <is>
          <t>Trading Republic</t>
        </is>
      </c>
      <c r="G2" t="n">
        <v>1.005148</v>
      </c>
      <c r="H2" t="n">
        <v>81.56999999999999</v>
      </c>
      <c r="I2" t="inlineStr">
        <is>
          <t>EUR</t>
        </is>
      </c>
      <c r="J2" t="n">
        <v>1</v>
      </c>
      <c r="K2">
        <f>H2*J2</f>
        <v/>
      </c>
      <c r="L2" t="n">
        <v>1</v>
      </c>
      <c r="M2">
        <f>G2*K2+L2</f>
        <v/>
      </c>
      <c r="N2">
        <f>IF(B2="Buy",-(G2*K2+L2),(G2*K2-L2))</f>
        <v/>
      </c>
    </row>
    <row r="3">
      <c r="A3" s="4" t="n">
        <v>45957</v>
      </c>
      <c r="B3" t="inlineStr">
        <is>
          <t>Buy</t>
        </is>
      </c>
      <c r="C3" t="inlineStr">
        <is>
          <t>Stocks</t>
        </is>
      </c>
      <c r="D3" t="inlineStr">
        <is>
          <t>Coca-Cola</t>
        </is>
      </c>
      <c r="E3" t="inlineStr">
        <is>
          <t>US1912161007</t>
        </is>
      </c>
      <c r="F3" t="inlineStr">
        <is>
          <t>Trading Republic</t>
        </is>
      </c>
      <c r="G3" t="n">
        <v>1.004352</v>
      </c>
      <c r="H3" t="n">
        <v>59.74</v>
      </c>
      <c r="I3" t="inlineStr">
        <is>
          <t>EUR</t>
        </is>
      </c>
      <c r="J3" t="n">
        <v>1</v>
      </c>
      <c r="K3">
        <f>H3*J3</f>
        <v/>
      </c>
      <c r="L3" t="n">
        <v>1</v>
      </c>
      <c r="M3">
        <f>G3*K3+L3</f>
        <v/>
      </c>
      <c r="N3">
        <f>IF(B3="Buy",-(G3*K3+L3),(G3*K3-L3))</f>
        <v/>
      </c>
    </row>
    <row r="4">
      <c r="A4" s="4" t="n">
        <v>45957</v>
      </c>
      <c r="B4" t="inlineStr">
        <is>
          <t>Buy</t>
        </is>
      </c>
      <c r="C4" t="inlineStr">
        <is>
          <t>Stocks</t>
        </is>
      </c>
      <c r="D4" t="inlineStr">
        <is>
          <t>Super Micro Computing</t>
        </is>
      </c>
      <c r="E4" t="inlineStr">
        <is>
          <t>US86800U3023</t>
        </is>
      </c>
      <c r="F4" t="inlineStr">
        <is>
          <t>Trading Republic</t>
        </is>
      </c>
      <c r="G4" t="n">
        <v>1.004795</v>
      </c>
      <c r="H4" t="n">
        <v>43.78</v>
      </c>
      <c r="I4" t="inlineStr">
        <is>
          <t>EUR</t>
        </is>
      </c>
      <c r="J4" t="n">
        <v>1</v>
      </c>
      <c r="K4">
        <f>H4*J4</f>
        <v/>
      </c>
      <c r="L4" t="n">
        <v>1</v>
      </c>
      <c r="M4">
        <f>G4*K4+L4</f>
        <v/>
      </c>
      <c r="N4">
        <f>IF(B4="Buy",-(G4*K4+L4),(G4*K4-L4))</f>
        <v/>
      </c>
    </row>
    <row r="5">
      <c r="A5" s="4" t="n">
        <v>45957</v>
      </c>
      <c r="B5" t="inlineStr">
        <is>
          <t>Buy</t>
        </is>
      </c>
      <c r="C5" t="inlineStr">
        <is>
          <t>Stocks</t>
        </is>
      </c>
      <c r="D5" t="inlineStr">
        <is>
          <t>Mitsubishi UFJ</t>
        </is>
      </c>
      <c r="E5" t="inlineStr">
        <is>
          <t>JP3902900004</t>
        </is>
      </c>
      <c r="F5" t="inlineStr">
        <is>
          <t>Trading Republic</t>
        </is>
      </c>
      <c r="G5" t="n">
        <v>10.029316</v>
      </c>
      <c r="H5" t="n">
        <v>12.96</v>
      </c>
      <c r="I5" t="inlineStr">
        <is>
          <t>EUR</t>
        </is>
      </c>
      <c r="J5" t="n">
        <v>1</v>
      </c>
      <c r="K5">
        <f>H5*J5</f>
        <v/>
      </c>
      <c r="L5" t="n">
        <v>1</v>
      </c>
      <c r="M5">
        <f>G5*K5+L5</f>
        <v/>
      </c>
      <c r="N5">
        <f>IF(B5="Buy",-(G5*K5+L5),(G5*K5-L5))</f>
        <v/>
      </c>
    </row>
    <row r="6">
      <c r="A6" s="4" t="n">
        <v>45957</v>
      </c>
      <c r="B6" t="inlineStr">
        <is>
          <t>Buy</t>
        </is>
      </c>
      <c r="C6" t="inlineStr">
        <is>
          <t>ETF</t>
        </is>
      </c>
      <c r="D6" t="inlineStr">
        <is>
          <t>Core MSCI World USD (Acc)</t>
        </is>
      </c>
      <c r="E6" t="inlineStr">
        <is>
          <t>IE00B4L5Y983</t>
        </is>
      </c>
      <c r="F6" t="inlineStr">
        <is>
          <t>Trading Republic</t>
        </is>
      </c>
      <c r="G6" t="n">
        <v>1.006198</v>
      </c>
      <c r="H6" t="n">
        <v>111.31</v>
      </c>
      <c r="I6" t="inlineStr">
        <is>
          <t>EUR</t>
        </is>
      </c>
      <c r="J6" t="n">
        <v>1</v>
      </c>
      <c r="K6">
        <f>H6*J6</f>
        <v/>
      </c>
      <c r="L6" t="n">
        <v>1</v>
      </c>
      <c r="M6">
        <f>G6*K6+L6</f>
        <v/>
      </c>
      <c r="N6">
        <f>IF(B6="Buy",-(G6*K6+L6),(G6*K6-L6))</f>
        <v/>
      </c>
    </row>
    <row r="7">
      <c r="A7" s="4" t="n">
        <v>45960</v>
      </c>
      <c r="B7" t="inlineStr">
        <is>
          <t>Buy</t>
        </is>
      </c>
      <c r="C7" t="inlineStr">
        <is>
          <t>ETF</t>
        </is>
      </c>
      <c r="D7" t="inlineStr">
        <is>
          <t>Global Infrastructure USD (Acc)</t>
        </is>
      </c>
      <c r="E7" t="inlineStr">
        <is>
          <t>IE000CK5G8J7</t>
        </is>
      </c>
      <c r="F7" t="inlineStr">
        <is>
          <t>Trading Republic</t>
        </is>
      </c>
      <c r="G7" t="n">
        <v>13.835085</v>
      </c>
      <c r="H7" t="n">
        <v>5.42</v>
      </c>
      <c r="I7" t="inlineStr">
        <is>
          <t>EUR</t>
        </is>
      </c>
      <c r="J7" t="n">
        <v>1</v>
      </c>
      <c r="K7">
        <f>H7*J7</f>
        <v/>
      </c>
      <c r="L7" t="n">
        <v>1</v>
      </c>
      <c r="M7">
        <f>G7*K7+L7</f>
        <v/>
      </c>
      <c r="N7">
        <f>IF(B7="Buy",-(G7*K7+L7),(G7*K7-L7))</f>
        <v/>
      </c>
    </row>
    <row r="8">
      <c r="A8" s="4" t="n">
        <v>45960</v>
      </c>
      <c r="B8" t="inlineStr">
        <is>
          <t>Buy</t>
        </is>
      </c>
      <c r="C8" t="inlineStr">
        <is>
          <t>ETF</t>
        </is>
      </c>
      <c r="D8" t="inlineStr">
        <is>
          <t>Core MSCI EM IMI USD (Acc)</t>
        </is>
      </c>
      <c r="E8" t="inlineStr">
        <is>
          <t>IE00BKM4GZ66</t>
        </is>
      </c>
      <c r="F8" t="inlineStr">
        <is>
          <t>Trading Republic</t>
        </is>
      </c>
      <c r="G8" t="n">
        <v>3.856338</v>
      </c>
      <c r="H8" t="n">
        <v>38.9</v>
      </c>
      <c r="I8" t="inlineStr">
        <is>
          <t>EUR</t>
        </is>
      </c>
      <c r="J8" t="n">
        <v>1</v>
      </c>
      <c r="K8">
        <f>H8*J8</f>
        <v/>
      </c>
      <c r="L8" t="n">
        <v>1</v>
      </c>
      <c r="M8">
        <f>G8*K8+L8</f>
        <v/>
      </c>
      <c r="N8">
        <f>IF(B8="Buy",-(G8*K8+L8),(G8*K8-L8))</f>
        <v/>
      </c>
    </row>
    <row r="9">
      <c r="A9" s="4" t="n">
        <v>45960</v>
      </c>
      <c r="B9" t="inlineStr">
        <is>
          <t>Buy</t>
        </is>
      </c>
      <c r="C9" t="inlineStr">
        <is>
          <t>ETF</t>
        </is>
      </c>
      <c r="D9" t="inlineStr">
        <is>
          <t>Eurozone Government Bond EUR (Acc)</t>
        </is>
      </c>
      <c r="E9" t="inlineStr">
        <is>
          <t>IE00BH04GL39</t>
        </is>
      </c>
      <c r="F9" t="inlineStr">
        <is>
          <t>Trading Republic</t>
        </is>
      </c>
      <c r="G9" t="n">
        <v>3.111</v>
      </c>
      <c r="H9" t="n">
        <v>24.11</v>
      </c>
      <c r="I9" t="inlineStr">
        <is>
          <t>EUR</t>
        </is>
      </c>
      <c r="J9" t="n">
        <v>1</v>
      </c>
      <c r="K9">
        <f>H9*J9</f>
        <v/>
      </c>
      <c r="L9" t="n">
        <v>1</v>
      </c>
      <c r="M9">
        <f>G9*K9+L9</f>
        <v/>
      </c>
      <c r="N9">
        <f>IF(B9="Buy",-(G9*K9+L9),(G9*K9-L9))</f>
        <v/>
      </c>
    </row>
    <row r="10">
      <c r="A10" s="4" t="n">
        <v>45960</v>
      </c>
      <c r="B10" t="inlineStr">
        <is>
          <t>Buy</t>
        </is>
      </c>
      <c r="C10" t="inlineStr">
        <is>
          <t>ETF</t>
        </is>
      </c>
      <c r="D10" t="inlineStr">
        <is>
          <t>MSCI Japan USD (Acc)</t>
        </is>
      </c>
      <c r="E10" t="inlineStr">
        <is>
          <t>LU0274209740</t>
        </is>
      </c>
      <c r="F10" t="inlineStr">
        <is>
          <t>Trading Republic</t>
        </is>
      </c>
      <c r="G10" t="n">
        <v>2.604347</v>
      </c>
      <c r="H10" t="n">
        <v>86.39</v>
      </c>
      <c r="I10" t="inlineStr">
        <is>
          <t>EUR</t>
        </is>
      </c>
      <c r="J10" t="n">
        <v>1</v>
      </c>
      <c r="K10">
        <f>H10*J10</f>
        <v/>
      </c>
      <c r="L10" t="n">
        <v>1</v>
      </c>
      <c r="M10">
        <f>G10*K10+L10</f>
        <v/>
      </c>
      <c r="N10">
        <f>IF(B10="Buy",-(G10*K10+L10),(G10*K10-L10))</f>
        <v/>
      </c>
    </row>
    <row r="11">
      <c r="A11" s="4" t="n">
        <v>45960</v>
      </c>
      <c r="B11" t="inlineStr">
        <is>
          <t>Buy</t>
        </is>
      </c>
      <c r="C11" t="inlineStr">
        <is>
          <t>ETF</t>
        </is>
      </c>
      <c r="D11" t="inlineStr">
        <is>
          <t>Core MSCI World USD (Acc)</t>
        </is>
      </c>
      <c r="E11" t="inlineStr">
        <is>
          <t>IE00B4L5Y983</t>
        </is>
      </c>
      <c r="F11" t="inlineStr">
        <is>
          <t>Trading Republic</t>
        </is>
      </c>
      <c r="G11" t="n">
        <v>8.016821</v>
      </c>
      <c r="H11" t="n">
        <v>111.75</v>
      </c>
      <c r="I11" t="inlineStr">
        <is>
          <t>EUR</t>
        </is>
      </c>
      <c r="J11" t="n">
        <v>1</v>
      </c>
      <c r="K11">
        <f>H11*J11</f>
        <v/>
      </c>
      <c r="L11" t="n">
        <v>1</v>
      </c>
      <c r="M11">
        <f>G11*K11+L11</f>
        <v/>
      </c>
      <c r="N11">
        <f>IF(B11="Buy",-(G11*K11+L11),(G11*K11-L11))</f>
        <v/>
      </c>
    </row>
    <row r="12">
      <c r="A12" s="4" t="n">
        <v>45960</v>
      </c>
      <c r="B12" t="inlineStr">
        <is>
          <t>Buy</t>
        </is>
      </c>
      <c r="C12" t="inlineStr">
        <is>
          <t>ETF</t>
        </is>
      </c>
      <c r="D12" t="inlineStr">
        <is>
          <t>Physical Gold USD (Acc)</t>
        </is>
      </c>
      <c r="E12" t="inlineStr">
        <is>
          <t>IE00B4ND3602</t>
        </is>
      </c>
      <c r="F12" t="inlineStr">
        <is>
          <t>Trading Republic</t>
        </is>
      </c>
      <c r="G12" t="n">
        <v>1.114661</v>
      </c>
      <c r="H12" t="n">
        <v>67.29000000000001</v>
      </c>
      <c r="I12" t="inlineStr">
        <is>
          <t>EUR</t>
        </is>
      </c>
      <c r="J12" t="n">
        <v>1</v>
      </c>
      <c r="K12">
        <f>H12*J12</f>
        <v/>
      </c>
      <c r="L12" t="n">
        <v>1</v>
      </c>
      <c r="M12">
        <f>G12*K12+L12</f>
        <v/>
      </c>
      <c r="N12">
        <f>IF(B12="Buy",-(G12*K12+L12),(G12*K12-L12))</f>
        <v/>
      </c>
    </row>
    <row r="13">
      <c r="A13" s="4" t="n">
        <v>45966</v>
      </c>
      <c r="B13" t="inlineStr">
        <is>
          <t>Sell</t>
        </is>
      </c>
      <c r="C13" t="inlineStr">
        <is>
          <t>Stocks</t>
        </is>
      </c>
      <c r="D13" t="inlineStr">
        <is>
          <t>BMW</t>
        </is>
      </c>
      <c r="E13" t="inlineStr">
        <is>
          <t>DE0005190003</t>
        </is>
      </c>
      <c r="F13" t="inlineStr">
        <is>
          <t>Trading Republic</t>
        </is>
      </c>
      <c r="G13" t="n">
        <v>1.005148</v>
      </c>
      <c r="H13" t="n">
        <v>85.72</v>
      </c>
      <c r="I13" t="inlineStr">
        <is>
          <t>EUR</t>
        </is>
      </c>
      <c r="J13" t="n">
        <v>1</v>
      </c>
      <c r="K13">
        <f>H13*J13</f>
        <v/>
      </c>
      <c r="L13" t="n">
        <v>1</v>
      </c>
      <c r="M13">
        <f>G13*K13+L13</f>
        <v/>
      </c>
      <c r="N13">
        <f>IF(B13="Buy",-(G13*K13+L13),(G13*K13-L13))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ISIN</t>
        </is>
      </c>
      <c r="B1" s="7" t="inlineStr">
        <is>
          <t>Ticker</t>
        </is>
      </c>
      <c r="C1" s="7" t="inlineStr">
        <is>
          <t>Exchange</t>
        </is>
      </c>
      <c r="D1" s="7" t="inlineStr">
        <is>
          <t>Currency</t>
        </is>
      </c>
      <c r="E1" s="7" t="inlineStr">
        <is>
          <t>Name</t>
        </is>
      </c>
    </row>
    <row r="2">
      <c r="A2" t="inlineStr">
        <is>
          <t>DE0005190003</t>
        </is>
      </c>
      <c r="B2" t="inlineStr">
        <is>
          <t>BMW.DE</t>
        </is>
      </c>
      <c r="C2" t="inlineStr">
        <is>
          <t>XETR</t>
        </is>
      </c>
      <c r="D2" t="inlineStr">
        <is>
          <t>EUR</t>
        </is>
      </c>
      <c r="E2" t="inlineStr"/>
    </row>
    <row r="3">
      <c r="A3" t="inlineStr">
        <is>
          <t>US1912161007</t>
        </is>
      </c>
      <c r="B3" t="inlineStr">
        <is>
          <t>KO</t>
        </is>
      </c>
      <c r="C3" t="inlineStr">
        <is>
          <t>NYSE</t>
        </is>
      </c>
      <c r="D3" t="inlineStr">
        <is>
          <t>USD</t>
        </is>
      </c>
      <c r="E3" t="inlineStr"/>
    </row>
    <row r="4">
      <c r="A4" t="inlineStr">
        <is>
          <t>US86800U3023</t>
        </is>
      </c>
      <c r="B4" t="inlineStr">
        <is>
          <t>SMCI</t>
        </is>
      </c>
      <c r="C4" t="inlineStr">
        <is>
          <t>NASDAQ</t>
        </is>
      </c>
      <c r="D4" t="inlineStr">
        <is>
          <t>USD</t>
        </is>
      </c>
      <c r="E4" t="inlineStr"/>
    </row>
    <row r="5">
      <c r="A5" t="inlineStr">
        <is>
          <t>JP3902900004</t>
        </is>
      </c>
      <c r="B5" t="inlineStr">
        <is>
          <t>8306.T</t>
        </is>
      </c>
      <c r="C5" t="inlineStr">
        <is>
          <t>TSE</t>
        </is>
      </c>
      <c r="D5" t="inlineStr">
        <is>
          <t>JPY</t>
        </is>
      </c>
      <c r="E5" t="inlineStr"/>
    </row>
    <row r="6">
      <c r="A6" t="inlineStr">
        <is>
          <t>IE00B4L5Y983</t>
        </is>
      </c>
      <c r="B6" t="inlineStr">
        <is>
          <t>EUNL.DE</t>
        </is>
      </c>
      <c r="C6" t="inlineStr">
        <is>
          <t>XETR</t>
        </is>
      </c>
      <c r="D6" t="inlineStr">
        <is>
          <t>EUR</t>
        </is>
      </c>
      <c r="E6" t="inlineStr"/>
    </row>
    <row r="7">
      <c r="A7" t="inlineStr">
        <is>
          <t>IE000CK5G8J7</t>
        </is>
      </c>
      <c r="B7" t="inlineStr">
        <is>
          <t>CBUX.DE</t>
        </is>
      </c>
      <c r="C7" t="inlineStr">
        <is>
          <t>XETR</t>
        </is>
      </c>
      <c r="D7" t="inlineStr">
        <is>
          <t>EUR</t>
        </is>
      </c>
      <c r="E7" t="inlineStr"/>
    </row>
    <row r="8">
      <c r="A8" t="inlineStr">
        <is>
          <t>IE00BKM4GZ66</t>
        </is>
      </c>
      <c r="B8" t="inlineStr">
        <is>
          <t>IS3N.DE</t>
        </is>
      </c>
      <c r="C8" t="inlineStr">
        <is>
          <t>XETR</t>
        </is>
      </c>
      <c r="D8" t="inlineStr">
        <is>
          <t>EUR</t>
        </is>
      </c>
      <c r="E8" t="inlineStr"/>
    </row>
    <row r="9">
      <c r="A9" t="inlineStr">
        <is>
          <t>IE00BH04GL39</t>
        </is>
      </c>
      <c r="B9" t="inlineStr">
        <is>
          <t>VGEA.DE</t>
        </is>
      </c>
      <c r="C9" t="inlineStr">
        <is>
          <t>XETR</t>
        </is>
      </c>
      <c r="D9" t="inlineStr">
        <is>
          <t>EUR</t>
        </is>
      </c>
      <c r="E9" t="inlineStr"/>
    </row>
    <row r="10">
      <c r="A10" t="inlineStr">
        <is>
          <t>LU0274209740</t>
        </is>
      </c>
      <c r="B10" t="inlineStr">
        <is>
          <t>DBXJ.DE</t>
        </is>
      </c>
      <c r="C10" t="inlineStr">
        <is>
          <t>XETR</t>
        </is>
      </c>
      <c r="D10" t="inlineStr">
        <is>
          <t>EUR</t>
        </is>
      </c>
      <c r="E10" t="inlineStr"/>
    </row>
    <row r="11">
      <c r="A11" t="inlineStr">
        <is>
          <t>IE00B4ND3602</t>
        </is>
      </c>
      <c r="B11" t="inlineStr">
        <is>
          <t>PPFB.DE</t>
        </is>
      </c>
      <c r="C11" t="inlineStr">
        <is>
          <t>XETR</t>
        </is>
      </c>
      <c r="D11" t="inlineStr">
        <is>
          <t>EUR</t>
        </is>
      </c>
      <c r="E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ISIN</t>
        </is>
      </c>
      <c r="B1" s="7" t="inlineStr">
        <is>
          <t>Ticker</t>
        </is>
      </c>
      <c r="C1" s="7" t="inlineStr">
        <is>
          <t>Currency</t>
        </is>
      </c>
      <c r="D1" s="7" t="inlineStr">
        <is>
          <t>Last Timestamp (Local)</t>
        </is>
      </c>
      <c r="E1" s="7" t="inlineStr">
        <is>
          <t>Last Timestamp (UTC)</t>
        </is>
      </c>
      <c r="F1" s="7" t="inlineStr">
        <is>
          <t>Last Close (Local)</t>
        </is>
      </c>
      <c r="G1" s="7" t="inlineStr">
        <is>
          <t>FX to EUR</t>
        </is>
      </c>
      <c r="H1" s="7" t="inlineStr">
        <is>
          <t>Last Close (EUR)</t>
        </is>
      </c>
      <c r="I1" s="7" t="inlineStr">
        <is>
          <t>Source</t>
        </is>
      </c>
    </row>
    <row r="2">
      <c r="A2" t="inlineStr">
        <is>
          <t>DE0005190003</t>
        </is>
      </c>
      <c r="B2" t="inlineStr">
        <is>
          <t>BMW.DE</t>
        </is>
      </c>
      <c r="C2" t="inlineStr">
        <is>
          <t>EUR</t>
        </is>
      </c>
      <c r="D2" t="inlineStr">
        <is>
          <t>2025-11-06T13:13:00+01:00</t>
        </is>
      </c>
      <c r="E2" t="inlineStr">
        <is>
          <t>2025-11-06T12:13:00+00:00</t>
        </is>
      </c>
      <c r="F2" t="n">
        <v>84.18000030517578</v>
      </c>
      <c r="G2" t="n">
        <v>1</v>
      </c>
      <c r="H2" t="n">
        <v>84.18000030517578</v>
      </c>
      <c r="I2" t="inlineStr">
        <is>
          <t>1m</t>
        </is>
      </c>
    </row>
    <row r="3">
      <c r="A3" t="inlineStr">
        <is>
          <t>US1912161007</t>
        </is>
      </c>
      <c r="B3" t="inlineStr">
        <is>
          <t>KO</t>
        </is>
      </c>
      <c r="C3" t="inlineStr">
        <is>
          <t>USD</t>
        </is>
      </c>
      <c r="D3" t="inlineStr">
        <is>
          <t>2025-11-05T15:59:00-05:00</t>
        </is>
      </c>
      <c r="E3" t="inlineStr">
        <is>
          <t>2025-11-05T20:59:00+00:00</t>
        </is>
      </c>
      <c r="F3" t="n">
        <v>68.49500274658203</v>
      </c>
      <c r="G3" t="n">
        <v>0.8678000215589433</v>
      </c>
      <c r="H3" t="n">
        <v>59.43996486016377</v>
      </c>
      <c r="I3" t="inlineStr">
        <is>
          <t>1m</t>
        </is>
      </c>
    </row>
    <row r="4">
      <c r="A4" t="inlineStr">
        <is>
          <t>US86800U3023</t>
        </is>
      </c>
      <c r="B4" t="inlineStr">
        <is>
          <t>SMCI</t>
        </is>
      </c>
      <c r="C4" t="inlineStr">
        <is>
          <t>USD</t>
        </is>
      </c>
      <c r="D4" t="inlineStr">
        <is>
          <t>2025-11-05T15:59:00-05:00</t>
        </is>
      </c>
      <c r="E4" t="inlineStr">
        <is>
          <t>2025-11-05T20:59:00+00:00</t>
        </is>
      </c>
      <c r="F4" t="n">
        <v>42.02999877929688</v>
      </c>
      <c r="G4" t="n">
        <v>0.8678000215589433</v>
      </c>
      <c r="H4" t="n">
        <v>36.47363384679619</v>
      </c>
      <c r="I4" t="inlineStr">
        <is>
          <t>1m</t>
        </is>
      </c>
    </row>
    <row r="5">
      <c r="A5" t="inlineStr">
        <is>
          <t>JP3902900004</t>
        </is>
      </c>
      <c r="B5" t="inlineStr">
        <is>
          <t>8306.T</t>
        </is>
      </c>
      <c r="C5" t="inlineStr">
        <is>
          <t>JPY</t>
        </is>
      </c>
      <c r="D5" t="inlineStr">
        <is>
          <t>2025-11-06T15:24:00+09:00</t>
        </is>
      </c>
      <c r="E5" t="inlineStr">
        <is>
          <t>2025-11-06T06:24:00+00:00</t>
        </is>
      </c>
      <c r="F5" t="n">
        <v>2326.5</v>
      </c>
      <c r="G5" t="n">
        <v>0.00564748381225839</v>
      </c>
      <c r="H5" t="n">
        <v>13.13887108921914</v>
      </c>
      <c r="I5" t="inlineStr">
        <is>
          <t>1m</t>
        </is>
      </c>
    </row>
    <row r="6">
      <c r="A6" t="inlineStr">
        <is>
          <t>IE00B4L5Y983</t>
        </is>
      </c>
      <c r="B6" t="inlineStr">
        <is>
          <t>EUNL.DE</t>
        </is>
      </c>
      <c r="C6" t="inlineStr">
        <is>
          <t>EUR</t>
        </is>
      </c>
      <c r="D6" t="inlineStr">
        <is>
          <t>2025-11-06T13:14:00+01:00</t>
        </is>
      </c>
      <c r="E6" t="inlineStr">
        <is>
          <t>2025-11-06T12:14:00+00:00</t>
        </is>
      </c>
      <c r="F6" t="n">
        <v>111.5100021362305</v>
      </c>
      <c r="G6" t="n">
        <v>1</v>
      </c>
      <c r="H6" t="n">
        <v>111.5100021362305</v>
      </c>
      <c r="I6" t="inlineStr">
        <is>
          <t>1m</t>
        </is>
      </c>
    </row>
    <row r="7">
      <c r="A7" t="inlineStr">
        <is>
          <t>IE000CK5G8J7</t>
        </is>
      </c>
      <c r="B7" t="inlineStr">
        <is>
          <t>CBUX.DE</t>
        </is>
      </c>
      <c r="C7" t="inlineStr">
        <is>
          <t>EUR</t>
        </is>
      </c>
      <c r="D7" t="inlineStr">
        <is>
          <t>2025-11-06T13:12:00+01:00</t>
        </is>
      </c>
      <c r="E7" t="inlineStr">
        <is>
          <t>2025-11-06T12:12:00+00:00</t>
        </is>
      </c>
      <c r="F7" t="n">
        <v>5.443999767303467</v>
      </c>
      <c r="G7" t="n">
        <v>1</v>
      </c>
      <c r="H7" t="n">
        <v>5.443999767303467</v>
      </c>
      <c r="I7" t="inlineStr">
        <is>
          <t>1m</t>
        </is>
      </c>
    </row>
    <row r="8">
      <c r="A8" t="inlineStr">
        <is>
          <t>IE00BKM4GZ66</t>
        </is>
      </c>
      <c r="B8" t="inlineStr">
        <is>
          <t>IS3N.DE</t>
        </is>
      </c>
      <c r="C8" t="inlineStr">
        <is>
          <t>EUR</t>
        </is>
      </c>
      <c r="D8" t="inlineStr">
        <is>
          <t>2025-11-06T13:14:00+01:00</t>
        </is>
      </c>
      <c r="E8" t="inlineStr">
        <is>
          <t>2025-11-06T12:14:00+00:00</t>
        </is>
      </c>
      <c r="F8" t="n">
        <v>38.85100173950195</v>
      </c>
      <c r="G8" t="n">
        <v>1</v>
      </c>
      <c r="H8" t="n">
        <v>38.85100173950195</v>
      </c>
      <c r="I8" t="inlineStr">
        <is>
          <t>1m</t>
        </is>
      </c>
    </row>
    <row r="9">
      <c r="A9" t="inlineStr">
        <is>
          <t>IE00BH04GL39</t>
        </is>
      </c>
      <c r="B9" t="inlineStr">
        <is>
          <t>VGEA.DE</t>
        </is>
      </c>
      <c r="C9" t="inlineStr">
        <is>
          <t>EUR</t>
        </is>
      </c>
      <c r="D9" t="inlineStr">
        <is>
          <t>2025-11-06T13:12:00+01:00</t>
        </is>
      </c>
      <c r="E9" t="inlineStr">
        <is>
          <t>2025-11-06T12:12:00+00:00</t>
        </is>
      </c>
      <c r="F9" t="n">
        <v>24.07699966430664</v>
      </c>
      <c r="G9" t="n">
        <v>1</v>
      </c>
      <c r="H9" t="n">
        <v>24.07699966430664</v>
      </c>
      <c r="I9" t="inlineStr">
        <is>
          <t>1m</t>
        </is>
      </c>
    </row>
    <row r="10">
      <c r="A10" t="inlineStr">
        <is>
          <t>LU0274209740</t>
        </is>
      </c>
      <c r="B10" t="inlineStr">
        <is>
          <t>DBXJ.DE</t>
        </is>
      </c>
      <c r="C10" t="inlineStr">
        <is>
          <t>EUR</t>
        </is>
      </c>
      <c r="D10" t="inlineStr">
        <is>
          <t>2025-11-06T13:12:00+01:00</t>
        </is>
      </c>
      <c r="E10" t="inlineStr">
        <is>
          <t>2025-11-06T12:12:00+00:00</t>
        </is>
      </c>
      <c r="F10" t="n">
        <v>87.00199890136719</v>
      </c>
      <c r="G10" t="n">
        <v>1</v>
      </c>
      <c r="H10" t="n">
        <v>87.00199890136719</v>
      </c>
      <c r="I10" t="inlineStr">
        <is>
          <t>1m</t>
        </is>
      </c>
    </row>
    <row r="11">
      <c r="A11" t="inlineStr">
        <is>
          <t>IE00B4ND3602</t>
        </is>
      </c>
      <c r="B11" t="inlineStr">
        <is>
          <t>PPFB.DE</t>
        </is>
      </c>
      <c r="C11" t="inlineStr">
        <is>
          <t>EUR</t>
        </is>
      </c>
      <c r="D11" t="inlineStr">
        <is>
          <t>2025-11-06T13:13:00+01:00</t>
        </is>
      </c>
      <c r="E11" t="inlineStr">
        <is>
          <t>2025-11-06T12:13:00+00:00</t>
        </is>
      </c>
      <c r="F11" t="n">
        <v>67.62999725341797</v>
      </c>
      <c r="G11" t="n">
        <v>1</v>
      </c>
      <c r="H11" t="n">
        <v>67.62999725341797</v>
      </c>
      <c r="I11" t="inlineStr">
        <is>
          <t>1m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D61" sqref="D61"/>
    </sheetView>
  </sheetViews>
  <sheetFormatPr baseColWidth="8" defaultRowHeight="13.5"/>
  <cols>
    <col width="18.75" customWidth="1" min="1" max="2"/>
    <col width="27.875" bestFit="1" customWidth="1" min="3" max="3"/>
    <col width="5" bestFit="1" customWidth="1" min="4" max="4"/>
    <col width="23" bestFit="1" customWidth="1" min="5" max="5"/>
    <col width="18.75" customWidth="1" min="6" max="16"/>
  </cols>
  <sheetData>
    <row r="1" customFormat="1" s="1">
      <c r="A1" s="2" t="inlineStr">
        <is>
          <t>Date</t>
        </is>
      </c>
      <c r="B1" s="2" t="inlineStr">
        <is>
          <t>Ticker</t>
        </is>
      </c>
      <c r="C1" s="2" t="inlineStr">
        <is>
          <t>Dividend per Share (Local)</t>
        </is>
      </c>
      <c r="D1" s="2" t="inlineStr">
        <is>
          <t>Qty</t>
        </is>
      </c>
      <c r="E1" s="2" t="inlineStr">
        <is>
          <t>Gross Amount (Local)</t>
        </is>
      </c>
      <c r="F1" s="2" t="inlineStr">
        <is>
          <t>Withholding Tax (Local)</t>
        </is>
      </c>
      <c r="G1" s="2" t="inlineStr">
        <is>
          <t>Fees (Local)</t>
        </is>
      </c>
      <c r="H1" s="2" t="inlineStr">
        <is>
          <t>Net Amount (Local)</t>
        </is>
      </c>
      <c r="I1" s="2" t="inlineStr">
        <is>
          <t>Currency</t>
        </is>
      </c>
      <c r="J1" s="2" t="inlineStr">
        <is>
          <t>FX to EUR</t>
        </is>
      </c>
      <c r="K1" s="1" t="inlineStr">
        <is>
          <t>Net Amount (EUR)</t>
        </is>
      </c>
    </row>
    <row r="2">
      <c r="K2">
        <f>IF(ROW()&gt;1, J2*I2, "")</f>
        <v/>
      </c>
    </row>
    <row r="3">
      <c r="A3" s="2" t="inlineStr">
        <is>
          <t>Year</t>
        </is>
      </c>
      <c r="B3" s="2" t="inlineStr">
        <is>
          <t>Total Dividends (EUR)</t>
        </is>
      </c>
    </row>
    <row r="4">
      <c r="A4" t="n">
        <v>2025</v>
      </c>
      <c r="B4">
        <f>SUMIFS(Dividends!K:K,Dividends!A:A,"&gt;="&amp;DATE(A2,1,1),Dividends!A:A,"&lt;="&amp;DATE(A2,12,31))</f>
        <v/>
      </c>
    </row>
    <row r="5">
      <c r="A5" t="n">
        <v>2026</v>
      </c>
      <c r="B5">
        <f>SUMIFS(Dividends!K:K,Dividends!A:A,"&gt;="&amp;DATE(A3,1,1),Dividends!A:A,"&lt;="&amp;DATE(A3,12,31))</f>
        <v/>
      </c>
    </row>
    <row r="6">
      <c r="A6" t="n">
        <v>2027</v>
      </c>
      <c r="B6">
        <f>SUMIFS(Dividends!K:K,Dividends!A:A,"&gt;="&amp;DATE(A4,1,1),Dividends!A:A,"&lt;="&amp;DATE(A4,12,31))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I21" sqref="I21"/>
    </sheetView>
  </sheetViews>
  <sheetFormatPr baseColWidth="8" defaultRowHeight="13.5"/>
  <cols>
    <col width="14.625" bestFit="1" customWidth="1" min="1" max="1"/>
    <col width="35.625" bestFit="1" customWidth="1" min="2" max="2"/>
    <col width="14.375" bestFit="1" customWidth="1" min="5" max="5"/>
    <col width="16" bestFit="1" customWidth="1" min="6" max="6"/>
    <col width="11.625" bestFit="1" customWidth="1" min="9" max="9"/>
    <col width="15.875" bestFit="1" customWidth="1" min="10" max="10"/>
    <col width="17.875" bestFit="1" customWidth="1" min="11" max="11"/>
    <col width="19.875" bestFit="1" customWidth="1" min="12" max="12"/>
    <col width="17.25" bestFit="1" customWidth="1" min="13" max="13"/>
    <col width="17.875" bestFit="1" customWidth="1" min="14" max="14"/>
  </cols>
  <sheetData>
    <row r="1">
      <c r="A1" t="inlineStr">
        <is>
          <t>ISIN</t>
        </is>
      </c>
      <c r="B1" t="inlineStr">
        <is>
          <t>Name</t>
        </is>
      </c>
      <c r="C1" t="inlineStr">
        <is>
          <t>Type</t>
        </is>
      </c>
      <c r="D1" t="inlineStr">
        <is>
          <t>Qty</t>
        </is>
      </c>
      <c r="E1" t="inlineStr">
        <is>
          <t>Avg Cost (EUR)</t>
        </is>
      </c>
      <c r="F1" t="inlineStr">
        <is>
          <t>Cost Basis (EUR)</t>
        </is>
      </c>
      <c r="G1" t="inlineStr">
        <is>
          <t>Ticker</t>
        </is>
      </c>
      <c r="H1" t="inlineStr">
        <is>
          <t>Currency</t>
        </is>
      </c>
      <c r="I1" t="inlineStr">
        <is>
          <t>Last Date</t>
        </is>
      </c>
      <c r="J1" t="inlineStr">
        <is>
          <t>Last Close (EUR)</t>
        </is>
      </c>
      <c r="K1" t="inlineStr">
        <is>
          <t>Market Value (EUR)</t>
        </is>
      </c>
      <c r="L1" t="inlineStr">
        <is>
          <t>Unrealized P&amp;L (EUR)</t>
        </is>
      </c>
      <c r="M1" t="inlineStr">
        <is>
          <t>Unrealized P&amp;L (%)</t>
        </is>
      </c>
      <c r="N1" t="inlineStr">
        <is>
          <t>Realized P&amp;L (EUR)</t>
        </is>
      </c>
    </row>
    <row r="2">
      <c r="A2">
        <f t="array" ref="A2:A10">_xlfn.LET( _xlpm.E, Transactions!E2:E1000, _xlpm.B, Transactions!B2:B1000, _xlpm.G, Transactions!G2:G1000, _xlfn._xlws.SORT( _xlfn.UNIQUE( _xlfn._xlws.FILTER( _xlpm.E, (_xlpm.E&lt;&gt;"")* (SUMIFS(_xlpm.G,_xlpm.E,_xlpm.E,_xlpm.B,"Buy")-SUMIFS(_xlpm.G,_xlpm.E,_xlpm.E,_xlpm.B,"Sell")&gt;0) ) ) ) )</f>
        <v/>
      </c>
      <c r="B2">
        <f>IF(A2="","",_xlfn.XLOOKUP(A2,Transactions!E:E,Transactions!D:D,""))</f>
        <v/>
      </c>
      <c r="C2">
        <f>IF(A2="","",_xlfn.XLOOKUP(A2,Transactions!E:E,Transactions!C:C,""))</f>
        <v/>
      </c>
      <c r="D2">
        <f>IF(A2="","", SUMIFS(Transactions!G:G, Transactions!E:E, A2, Transactions!B:B, "Buy") - SUMIFS(Transactions!G:G, Transactions!E:E, A2, Transactions!B:B, "Sell") )</f>
        <v/>
      </c>
      <c r="E2">
        <f>IF(D2&gt;0, SUMIFS(Transactions!M:M, Transactions!E:E, A2, Transactions!B:B, "Buy") / SUMIFS(Transactions!G:G, Transactions!E:E, A2, Transactions!B:B, "Buy"), "" )</f>
        <v/>
      </c>
      <c r="F2">
        <f>IF(D2&gt;0, D2 * E2, "")</f>
        <v/>
      </c>
      <c r="G2">
        <f>IF(A2="","",_xlfn.XLOOKUP(A2,Map!A:A,Map!B:B,""))</f>
        <v/>
      </c>
      <c r="H2">
        <f>IF(A2="","",_xlfn.XLOOKUP(A2,Map!A:A,Map!D:D,"EUR"))</f>
        <v/>
      </c>
      <c r="I2">
        <f>IF(A2="","",_xlfn.XLOOKUP(A2,Prices!A:A,Prices!D:D,""))</f>
        <v/>
      </c>
      <c r="J2">
        <f>IF(A2="","",_xlfn.XLOOKUP(A2,Prices!A:A,Prices!H:H,""))</f>
        <v/>
      </c>
      <c r="K2">
        <f>IF(AND(D2&gt;0,J2&lt;&gt;""), D2*J2, "")</f>
        <v/>
      </c>
      <c r="L2">
        <f>IF(AND(F2&lt;&gt;"",K2&lt;&gt;""), K2-F2, "")</f>
        <v/>
      </c>
      <c r="M2">
        <f>IF(OR(F2&lt;0,F2="")," ",L2/F2)</f>
        <v/>
      </c>
      <c r="N2">
        <f>_xlfn.LET( _xlpm.isin,A2, _xlpm.buys_amt,  SUMIFS(Transactions!N:N,Transactions!E:E,_xlpm.isin,Transactions!B:B,"Buy"), _xlpm.buys_qty,  SUMIFS(Transactions!G:G,Transactions!E:E,_xlpm.isin,Transactions!B:B,"Buy"), _xlpm.sold_qty,  SUMIFS(Transactions!G:G,Transactions!E:E,_xlpm.isin,Transactions!B:B,"Sell"), _xlpm.proceeds,  SUMIFS(Transactions!N:N,Transactions!E:E,_xlpm.isin,Transactions!B:B,"Sell"), _xlpm.avg_cost,  -_xlpm.buys_amt/_xlpm.buys_qty, IFERROR(_xlpm.proceeds - _xlpm.sold_qty*_xlpm.avg_cost,0) )</f>
        <v/>
      </c>
    </row>
    <row r="3">
      <c r="A3" t="inlineStr">
        <is>
          <t>IE00B4L5Y983</t>
        </is>
      </c>
      <c r="B3">
        <f>IF(A3="","",_xlfn.XLOOKUP(A3,Transactions!E:E,Transactions!D:D,""))</f>
        <v/>
      </c>
      <c r="C3">
        <f>IF(A3="","",_xlfn.XLOOKUP(A3,Transactions!E:E,Transactions!C:C,""))</f>
        <v/>
      </c>
      <c r="D3">
        <f>IF(A3="","", SUMIFS(Transactions!G:G, Transactions!E:E, A3, Transactions!B:B, "Buy") - SUMIFS(Transactions!G:G, Transactions!E:E, A3, Transactions!B:B, "Sell") )</f>
        <v/>
      </c>
      <c r="E3">
        <f>IF(D3&gt;0, SUMIFS(Transactions!M:M, Transactions!E:E, A3, Transactions!B:B, "Buy") / SUMIFS(Transactions!G:G, Transactions!E:E, A3, Transactions!B:B, "Buy"), "" )</f>
        <v/>
      </c>
      <c r="F3">
        <f>IF(D3&gt;0, D3 * E3, "")</f>
        <v/>
      </c>
      <c r="G3">
        <f>IF(A3="","",_xlfn.XLOOKUP(A3,Map!A:A,Map!B:B,""))</f>
        <v/>
      </c>
      <c r="H3">
        <f>IF(A3="","",_xlfn.XLOOKUP(A3,Map!A:A,Map!D:D,"EUR"))</f>
        <v/>
      </c>
      <c r="I3">
        <f>IF(A3="","",_xlfn.XLOOKUP(A3,Prices!A:A,Prices!D:D,""))</f>
        <v/>
      </c>
      <c r="J3">
        <f>IF(A3="","",_xlfn.XLOOKUP(A3,Prices!A:A,Prices!H:H,""))</f>
        <v/>
      </c>
      <c r="K3">
        <f>IF(AND(D3&gt;0,J3&lt;&gt;""), D3*J3, "")</f>
        <v/>
      </c>
      <c r="L3">
        <f>IF(AND(F3&lt;&gt;"",K3&lt;&gt;""), K3-F3, "")</f>
        <v/>
      </c>
      <c r="M3">
        <f>IF(OR(F3&lt;0,F3="")," ",L3/F3)</f>
        <v/>
      </c>
      <c r="N3">
        <f>_xlfn.LET( _xlpm.isin,A3, _xlpm.buys_amt,  SUMIFS(Transactions!N:N,Transactions!E:E,_xlpm.isin,Transactions!B:B,"Buy"), _xlpm.buys_qty,  SUMIFS(Transactions!G:G,Transactions!E:E,_xlpm.isin,Transactions!B:B,"Buy"), _xlpm.sold_qty,  SUMIFS(Transactions!G:G,Transactions!E:E,_xlpm.isin,Transactions!B:B,"Sell"), _xlpm.proceeds,  SUMIFS(Transactions!N:N,Transactions!E:E,_xlpm.isin,Transactions!B:B,"Sell"), _xlpm.avg_cost,  -_xlpm.buys_amt/_xlpm.buys_qty, IFERROR(_xlpm.proceeds - _xlpm.sold_qty*_xlpm.avg_cost,0) )</f>
        <v/>
      </c>
    </row>
    <row r="4">
      <c r="A4" t="inlineStr">
        <is>
          <t>IE00B4ND3602</t>
        </is>
      </c>
      <c r="B4">
        <f>IF(A4="","",_xlfn.XLOOKUP(A4,Transactions!E:E,Transactions!D:D,""))</f>
        <v/>
      </c>
      <c r="C4">
        <f>IF(A4="","",_xlfn.XLOOKUP(A4,Transactions!E:E,Transactions!C:C,""))</f>
        <v/>
      </c>
      <c r="D4">
        <f>IF(A4="","", SUMIFS(Transactions!G:G, Transactions!E:E, A4, Transactions!B:B, "Buy") - SUMIFS(Transactions!G:G, Transactions!E:E, A4, Transactions!B:B, "Sell") )</f>
        <v/>
      </c>
      <c r="E4">
        <f>IF(D4&gt;0, SUMIFS(Transactions!M:M, Transactions!E:E, A4, Transactions!B:B, "Buy") / SUMIFS(Transactions!G:G, Transactions!E:E, A4, Transactions!B:B, "Buy"), "" )</f>
        <v/>
      </c>
      <c r="F4">
        <f>IF(D4&gt;0, D4 * E4, "")</f>
        <v/>
      </c>
      <c r="G4">
        <f>IF(A4="","",_xlfn.XLOOKUP(A4,Map!A:A,Map!B:B,""))</f>
        <v/>
      </c>
      <c r="H4">
        <f>IF(A4="","",_xlfn.XLOOKUP(A4,Map!A:A,Map!D:D,"EUR"))</f>
        <v/>
      </c>
      <c r="I4">
        <f>IF(A4="","",_xlfn.XLOOKUP(A4,Prices!A:A,Prices!D:D,""))</f>
        <v/>
      </c>
      <c r="J4">
        <f>IF(A4="","",_xlfn.XLOOKUP(A4,Prices!A:A,Prices!H:H,""))</f>
        <v/>
      </c>
      <c r="K4">
        <f>IF(AND(D4&gt;0,J4&lt;&gt;""), D4*J4, "")</f>
        <v/>
      </c>
      <c r="L4">
        <f>IF(AND(F4&lt;&gt;"",K4&lt;&gt;""), K4-F4, "")</f>
        <v/>
      </c>
      <c r="M4">
        <f>IF(OR(F4&lt;0,F4="")," ",L4/F4)</f>
        <v/>
      </c>
      <c r="N4">
        <f>_xlfn.LET( _xlpm.isin,A4, _xlpm.buys_amt,  SUMIFS(Transactions!N:N,Transactions!E:E,_xlpm.isin,Transactions!B:B,"Buy"), _xlpm.buys_qty,  SUMIFS(Transactions!G:G,Transactions!E:E,_xlpm.isin,Transactions!B:B,"Buy"), _xlpm.sold_qty,  SUMIFS(Transactions!G:G,Transactions!E:E,_xlpm.isin,Transactions!B:B,"Sell"), _xlpm.proceeds,  SUMIFS(Transactions!N:N,Transactions!E:E,_xlpm.isin,Transactions!B:B,"Sell"), _xlpm.avg_cost,  -_xlpm.buys_amt/_xlpm.buys_qty, IFERROR(_xlpm.proceeds - _xlpm.sold_qty*_xlpm.avg_cost,0) )</f>
        <v/>
      </c>
    </row>
    <row r="5">
      <c r="A5" t="inlineStr">
        <is>
          <t>IE00BH04GL39</t>
        </is>
      </c>
      <c r="B5">
        <f>IF(A5="","",_xlfn.XLOOKUP(A5,Transactions!E:E,Transactions!D:D,""))</f>
        <v/>
      </c>
      <c r="C5">
        <f>IF(A5="","",_xlfn.XLOOKUP(A5,Transactions!E:E,Transactions!C:C,""))</f>
        <v/>
      </c>
      <c r="D5">
        <f>IF(A5="","", SUMIFS(Transactions!G:G, Transactions!E:E, A5, Transactions!B:B, "Buy") - SUMIFS(Transactions!G:G, Transactions!E:E, A5, Transactions!B:B, "Sell") )</f>
        <v/>
      </c>
      <c r="E5">
        <f>IF(D5&gt;0, SUMIFS(Transactions!M:M, Transactions!E:E, A5, Transactions!B:B, "Buy") / SUMIFS(Transactions!G:G, Transactions!E:E, A5, Transactions!B:B, "Buy"), "" )</f>
        <v/>
      </c>
      <c r="F5">
        <f>IF(D5&gt;0, D5 * E5, "")</f>
        <v/>
      </c>
      <c r="G5">
        <f>IF(A5="","",_xlfn.XLOOKUP(A5,Map!A:A,Map!B:B,""))</f>
        <v/>
      </c>
      <c r="H5">
        <f>IF(A5="","",_xlfn.XLOOKUP(A5,Map!A:A,Map!D:D,"EUR"))</f>
        <v/>
      </c>
      <c r="I5">
        <f>IF(A5="","",_xlfn.XLOOKUP(A5,Prices!A:A,Prices!D:D,""))</f>
        <v/>
      </c>
      <c r="J5">
        <f>IF(A5="","",_xlfn.XLOOKUP(A5,Prices!A:A,Prices!H:H,""))</f>
        <v/>
      </c>
      <c r="K5">
        <f>IF(AND(D5&gt;0,J5&lt;&gt;""), D5*J5, "")</f>
        <v/>
      </c>
      <c r="L5">
        <f>IF(AND(F5&lt;&gt;"",K5&lt;&gt;""), K5-F5, "")</f>
        <v/>
      </c>
      <c r="M5">
        <f>IF(OR(F5&lt;0,F5="")," ",L5/F5)</f>
        <v/>
      </c>
      <c r="N5">
        <f>_xlfn.LET( _xlpm.isin,A5, _xlpm.buys_amt,  SUMIFS(Transactions!N:N,Transactions!E:E,_xlpm.isin,Transactions!B:B,"Buy"), _xlpm.buys_qty,  SUMIFS(Transactions!G:G,Transactions!E:E,_xlpm.isin,Transactions!B:B,"Buy"), _xlpm.sold_qty,  SUMIFS(Transactions!G:G,Transactions!E:E,_xlpm.isin,Transactions!B:B,"Sell"), _xlpm.proceeds,  SUMIFS(Transactions!N:N,Transactions!E:E,_xlpm.isin,Transactions!B:B,"Sell"), _xlpm.avg_cost,  -_xlpm.buys_amt/_xlpm.buys_qty, IFERROR(_xlpm.proceeds - _xlpm.sold_qty*_xlpm.avg_cost,0) )</f>
        <v/>
      </c>
    </row>
    <row r="6">
      <c r="A6" t="inlineStr">
        <is>
          <t>IE00BKM4GZ66</t>
        </is>
      </c>
      <c r="B6">
        <f>IF(A6="","",_xlfn.XLOOKUP(A6,Transactions!E:E,Transactions!D:D,""))</f>
        <v/>
      </c>
      <c r="C6">
        <f>IF(A6="","",_xlfn.XLOOKUP(A6,Transactions!E:E,Transactions!C:C,""))</f>
        <v/>
      </c>
      <c r="D6">
        <f>IF(A6="","", SUMIFS(Transactions!G:G, Transactions!E:E, A6, Transactions!B:B, "Buy") - SUMIFS(Transactions!G:G, Transactions!E:E, A6, Transactions!B:B, "Sell") )</f>
        <v/>
      </c>
      <c r="E6">
        <f>IF(D6&gt;0, SUMIFS(Transactions!M:M, Transactions!E:E, A6, Transactions!B:B, "Buy") / SUMIFS(Transactions!G:G, Transactions!E:E, A6, Transactions!B:B, "Buy"), "" )</f>
        <v/>
      </c>
      <c r="F6">
        <f>IF(D6&gt;0, D6 * E6, "")</f>
        <v/>
      </c>
      <c r="G6">
        <f>IF(A6="","",_xlfn.XLOOKUP(A6,Map!A:A,Map!B:B,""))</f>
        <v/>
      </c>
      <c r="H6">
        <f>IF(A6="","",_xlfn.XLOOKUP(A6,Map!A:A,Map!D:D,"EUR"))</f>
        <v/>
      </c>
      <c r="I6">
        <f>IF(A6="","",_xlfn.XLOOKUP(A6,Prices!A:A,Prices!D:D,""))</f>
        <v/>
      </c>
      <c r="J6">
        <f>IF(A6="","",_xlfn.XLOOKUP(A6,Prices!A:A,Prices!H:H,""))</f>
        <v/>
      </c>
      <c r="K6">
        <f>IF(AND(D6&gt;0,J6&lt;&gt;""), D6*J6, "")</f>
        <v/>
      </c>
      <c r="L6">
        <f>IF(AND(F6&lt;&gt;"",K6&lt;&gt;""), K6-F6, "")</f>
        <v/>
      </c>
      <c r="M6">
        <f>IF(OR(F6&lt;0,F6="")," ",L6/F6)</f>
        <v/>
      </c>
      <c r="N6">
        <f>_xlfn.LET( _xlpm.isin,A6, _xlpm.buys_amt,  SUMIFS(Transactions!N:N,Transactions!E:E,_xlpm.isin,Transactions!B:B,"Buy"), _xlpm.buys_qty,  SUMIFS(Transactions!G:G,Transactions!E:E,_xlpm.isin,Transactions!B:B,"Buy"), _xlpm.sold_qty,  SUMIFS(Transactions!G:G,Transactions!E:E,_xlpm.isin,Transactions!B:B,"Sell"), _xlpm.proceeds,  SUMIFS(Transactions!N:N,Transactions!E:E,_xlpm.isin,Transactions!B:B,"Sell"), _xlpm.avg_cost,  -_xlpm.buys_amt/_xlpm.buys_qty, IFERROR(_xlpm.proceeds - _xlpm.sold_qty*_xlpm.avg_cost,0) )</f>
        <v/>
      </c>
    </row>
    <row r="7">
      <c r="A7" t="inlineStr">
        <is>
          <t>JP3902900004</t>
        </is>
      </c>
      <c r="B7">
        <f>IF(A7="","",_xlfn.XLOOKUP(A7,Transactions!E:E,Transactions!D:D,""))</f>
        <v/>
      </c>
      <c r="C7">
        <f>IF(A7="","",_xlfn.XLOOKUP(A7,Transactions!E:E,Transactions!C:C,""))</f>
        <v/>
      </c>
      <c r="D7">
        <f>IF(A7="","", SUMIFS(Transactions!G:G, Transactions!E:E, A7, Transactions!B:B, "Buy") - SUMIFS(Transactions!G:G, Transactions!E:E, A7, Transactions!B:B, "Sell") )</f>
        <v/>
      </c>
      <c r="E7">
        <f>IF(D7&gt;0, SUMIFS(Transactions!M:M, Transactions!E:E, A7, Transactions!B:B, "Buy") / SUMIFS(Transactions!G:G, Transactions!E:E, A7, Transactions!B:B, "Buy"), "" )</f>
        <v/>
      </c>
      <c r="F7">
        <f>IF(D7&gt;0, D7 * E7, "")</f>
        <v/>
      </c>
      <c r="G7">
        <f>IF(A7="","",_xlfn.XLOOKUP(A7,Map!A:A,Map!B:B,""))</f>
        <v/>
      </c>
      <c r="H7">
        <f>IF(A7="","",_xlfn.XLOOKUP(A7,Map!A:A,Map!D:D,"EUR"))</f>
        <v/>
      </c>
      <c r="I7">
        <f>IF(A7="","",_xlfn.XLOOKUP(A7,Prices!A:A,Prices!D:D,""))</f>
        <v/>
      </c>
      <c r="J7">
        <f>IF(A7="","",_xlfn.XLOOKUP(A7,Prices!A:A,Prices!H:H,""))</f>
        <v/>
      </c>
      <c r="K7">
        <f>IF(AND(D7&gt;0,J7&lt;&gt;""), D7*J7, "")</f>
        <v/>
      </c>
      <c r="L7">
        <f>IF(AND(F7&lt;&gt;"",K7&lt;&gt;""), K7-F7, "")</f>
        <v/>
      </c>
      <c r="M7">
        <f>IF(OR(F7&lt;0,F7="")," ",L7/F7)</f>
        <v/>
      </c>
      <c r="N7">
        <f>_xlfn.LET( _xlpm.isin,A7, _xlpm.buys_amt,  SUMIFS(Transactions!N:N,Transactions!E:E,_xlpm.isin,Transactions!B:B,"Buy"), _xlpm.buys_qty,  SUMIFS(Transactions!G:G,Transactions!E:E,_xlpm.isin,Transactions!B:B,"Buy"), _xlpm.sold_qty,  SUMIFS(Transactions!G:G,Transactions!E:E,_xlpm.isin,Transactions!B:B,"Sell"), _xlpm.proceeds,  SUMIFS(Transactions!N:N,Transactions!E:E,_xlpm.isin,Transactions!B:B,"Sell"), _xlpm.avg_cost,  -_xlpm.buys_amt/_xlpm.buys_qty, IFERROR(_xlpm.proceeds - _xlpm.sold_qty*_xlpm.avg_cost,0) )</f>
        <v/>
      </c>
    </row>
    <row r="8">
      <c r="A8" t="inlineStr">
        <is>
          <t>LU0274209740</t>
        </is>
      </c>
      <c r="B8">
        <f>IF(A8="","",_xlfn.XLOOKUP(A8,Transactions!E:E,Transactions!D:D,""))</f>
        <v/>
      </c>
      <c r="C8">
        <f>IF(A8="","",_xlfn.XLOOKUP(A8,Transactions!E:E,Transactions!C:C,""))</f>
        <v/>
      </c>
      <c r="D8">
        <f>IF(A8="","", SUMIFS(Transactions!G:G, Transactions!E:E, A8, Transactions!B:B, "Buy") - SUMIFS(Transactions!G:G, Transactions!E:E, A8, Transactions!B:B, "Sell") )</f>
        <v/>
      </c>
      <c r="E8">
        <f>IF(D8&gt;0, SUMIFS(Transactions!M:M, Transactions!E:E, A8, Transactions!B:B, "Buy") / SUMIFS(Transactions!G:G, Transactions!E:E, A8, Transactions!B:B, "Buy"), "" )</f>
        <v/>
      </c>
      <c r="F8">
        <f>IF(D8&gt;0, D8 * E8, "")</f>
        <v/>
      </c>
      <c r="G8">
        <f>IF(A8="","",_xlfn.XLOOKUP(A8,Map!A:A,Map!B:B,""))</f>
        <v/>
      </c>
      <c r="H8">
        <f>IF(A8="","",_xlfn.XLOOKUP(A8,Map!A:A,Map!D:D,"EUR"))</f>
        <v/>
      </c>
      <c r="I8">
        <f>IF(A8="","",_xlfn.XLOOKUP(A8,Prices!A:A,Prices!D:D,""))</f>
        <v/>
      </c>
      <c r="J8">
        <f>IF(A8="","",_xlfn.XLOOKUP(A8,Prices!A:A,Prices!H:H,""))</f>
        <v/>
      </c>
      <c r="K8">
        <f>IF(AND(D8&gt;0,J8&lt;&gt;""), D8*J8, "")</f>
        <v/>
      </c>
      <c r="L8">
        <f>IF(AND(F8&lt;&gt;"",K8&lt;&gt;""), K8-F8, "")</f>
        <v/>
      </c>
      <c r="M8">
        <f>IF(OR(F8&lt;0,F8="")," ",L8/F8)</f>
        <v/>
      </c>
      <c r="N8">
        <f>_xlfn.LET( _xlpm.isin,A8, _xlpm.buys_amt,  SUMIFS(Transactions!N:N,Transactions!E:E,_xlpm.isin,Transactions!B:B,"Buy"), _xlpm.buys_qty,  SUMIFS(Transactions!G:G,Transactions!E:E,_xlpm.isin,Transactions!B:B,"Buy"), _xlpm.sold_qty,  SUMIFS(Transactions!G:G,Transactions!E:E,_xlpm.isin,Transactions!B:B,"Sell"), _xlpm.proceeds,  SUMIFS(Transactions!N:N,Transactions!E:E,_xlpm.isin,Transactions!B:B,"Sell"), _xlpm.avg_cost,  -_xlpm.buys_amt/_xlpm.buys_qty, IFERROR(_xlpm.proceeds - _xlpm.sold_qty*_xlpm.avg_cost,0) )</f>
        <v/>
      </c>
    </row>
    <row r="9">
      <c r="A9" t="inlineStr">
        <is>
          <t>US1912161007</t>
        </is>
      </c>
      <c r="B9">
        <f>IF(A9="","",_xlfn.XLOOKUP(A9,Transactions!E:E,Transactions!D:D,""))</f>
        <v/>
      </c>
      <c r="C9">
        <f>IF(A9="","",_xlfn.XLOOKUP(A9,Transactions!E:E,Transactions!C:C,""))</f>
        <v/>
      </c>
      <c r="D9">
        <f>IF(A9="","", SUMIFS(Transactions!G:G, Transactions!E:E, A9, Transactions!B:B, "Buy") - SUMIFS(Transactions!G:G, Transactions!E:E, A9, Transactions!B:B, "Sell") )</f>
        <v/>
      </c>
      <c r="E9">
        <f>IF(D9&gt;0, SUMIFS(Transactions!M:M, Transactions!E:E, A9, Transactions!B:B, "Buy") / SUMIFS(Transactions!G:G, Transactions!E:E, A9, Transactions!B:B, "Buy"), "" )</f>
        <v/>
      </c>
      <c r="F9">
        <f>IF(D9&gt;0, D9 * E9, "")</f>
        <v/>
      </c>
      <c r="G9">
        <f>IF(A9="","",_xlfn.XLOOKUP(A9,Map!A:A,Map!B:B,""))</f>
        <v/>
      </c>
      <c r="H9">
        <f>IF(A9="","",_xlfn.XLOOKUP(A9,Map!A:A,Map!D:D,"EUR"))</f>
        <v/>
      </c>
      <c r="I9">
        <f>IF(A9="","",_xlfn.XLOOKUP(A9,Prices!A:A,Prices!D:D,""))</f>
        <v/>
      </c>
      <c r="J9">
        <f>IF(A9="","",_xlfn.XLOOKUP(A9,Prices!A:A,Prices!H:H,""))</f>
        <v/>
      </c>
      <c r="K9">
        <f>IF(AND(D9&gt;0,J9&lt;&gt;""), D9*J9, "")</f>
        <v/>
      </c>
      <c r="L9">
        <f>IF(AND(F9&lt;&gt;"",K9&lt;&gt;""), K9-F9, "")</f>
        <v/>
      </c>
      <c r="M9">
        <f>IF(OR(F9&lt;0,F9="")," ",L9/F9)</f>
        <v/>
      </c>
      <c r="N9">
        <f>_xlfn.LET( _xlpm.isin,A9, _xlpm.buys_amt,  SUMIFS(Transactions!N:N,Transactions!E:E,_xlpm.isin,Transactions!B:B,"Buy"), _xlpm.buys_qty,  SUMIFS(Transactions!G:G,Transactions!E:E,_xlpm.isin,Transactions!B:B,"Buy"), _xlpm.sold_qty,  SUMIFS(Transactions!G:G,Transactions!E:E,_xlpm.isin,Transactions!B:B,"Sell"), _xlpm.proceeds,  SUMIFS(Transactions!N:N,Transactions!E:E,_xlpm.isin,Transactions!B:B,"Sell"), _xlpm.avg_cost,  -_xlpm.buys_amt/_xlpm.buys_qty, IFERROR(_xlpm.proceeds - _xlpm.sold_qty*_xlpm.avg_cost,0) )</f>
        <v/>
      </c>
    </row>
    <row r="10">
      <c r="A10" t="inlineStr">
        <is>
          <t>US86800U3023</t>
        </is>
      </c>
      <c r="B10">
        <f>IF(A10="","",_xlfn.XLOOKUP(A10,Transactions!E:E,Transactions!D:D,""))</f>
        <v/>
      </c>
      <c r="C10">
        <f>IF(A10="","",_xlfn.XLOOKUP(A10,Transactions!E:E,Transactions!C:C,""))</f>
        <v/>
      </c>
      <c r="D10">
        <f>IF(A10="","", SUMIFS(Transactions!G:G, Transactions!E:E, A10, Transactions!B:B, "Buy") - SUMIFS(Transactions!G:G, Transactions!E:E, A10, Transactions!B:B, "Sell") )</f>
        <v/>
      </c>
      <c r="E10">
        <f>IF(D10&gt;0, SUMIFS(Transactions!M:M, Transactions!E:E, A10, Transactions!B:B, "Buy") / SUMIFS(Transactions!G:G, Transactions!E:E, A10, Transactions!B:B, "Buy"), "" )</f>
        <v/>
      </c>
      <c r="F10">
        <f>IF(D10&gt;0, D10 * E10, "")</f>
        <v/>
      </c>
      <c r="G10">
        <f>IF(A10="","",_xlfn.XLOOKUP(A10,Map!A:A,Map!B:B,""))</f>
        <v/>
      </c>
      <c r="H10">
        <f>IF(A10="","",_xlfn.XLOOKUP(A10,Map!A:A,Map!D:D,"EUR"))</f>
        <v/>
      </c>
      <c r="I10">
        <f>IF(A10="","",_xlfn.XLOOKUP(A10,Prices!A:A,Prices!D:D,""))</f>
        <v/>
      </c>
      <c r="J10">
        <f>IF(A10="","",_xlfn.XLOOKUP(A10,Prices!A:A,Prices!H:H,""))</f>
        <v/>
      </c>
      <c r="K10">
        <f>IF(AND(D10&gt;0,J10&lt;&gt;""), D10*J10, "")</f>
        <v/>
      </c>
      <c r="L10">
        <f>IF(AND(F10&lt;&gt;"",K10&lt;&gt;""), K10-F10, "")</f>
        <v/>
      </c>
      <c r="M10">
        <f>IF(OR(F10&lt;0,F10="")," ",L10/F10)</f>
        <v/>
      </c>
      <c r="N10">
        <f>_xlfn.LET( _xlpm.isin,A10, _xlpm.buys_amt,  SUMIFS(Transactions!N:N,Transactions!E:E,_xlpm.isin,Transactions!B:B,"Buy"), _xlpm.buys_qty,  SUMIFS(Transactions!G:G,Transactions!E:E,_xlpm.isin,Transactions!B:B,"Buy"), _xlpm.sold_qty,  SUMIFS(Transactions!G:G,Transactions!E:E,_xlpm.isin,Transactions!B:B,"Sell"), _xlpm.proceeds,  SUMIFS(Transactions!N:N,Transactions!E:E,_xlpm.isin,Transactions!B:B,"Sell"), _xlpm.avg_cost,  -_xlpm.buys_amt/_xlpm.buys_qty, IFERROR(_xlpm.proceeds - _xlpm.sold_qty*_xlpm.avg_cost,0) 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7" sqref="A7"/>
    </sheetView>
  </sheetViews>
  <sheetFormatPr baseColWidth="8" defaultRowHeight="13.5"/>
  <cols>
    <col width="26.125" bestFit="1" customWidth="1" min="1" max="1"/>
    <col width="18.75" customWidth="1" min="2" max="16"/>
  </cols>
  <sheetData>
    <row r="1" customFormat="1" s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As of Date</t>
        </is>
      </c>
      <c r="B2" t="inlineStr">
        <is>
          <t>2025-11-05</t>
        </is>
      </c>
    </row>
    <row r="3">
      <c r="A3" t="inlineStr">
        <is>
          <t>Portfolio Market Value (EUR)</t>
        </is>
      </c>
      <c r="B3">
        <f t="array" ref="B3">SUM(_xlfn._xlws.FILTER(Positions!K:K, Positions!D:D&gt;0))</f>
        <v/>
      </c>
    </row>
    <row r="4">
      <c r="A4" t="inlineStr">
        <is>
          <t>Invested (EUR)</t>
        </is>
      </c>
      <c r="B4">
        <f>SUMPRODUCT(Positions!D2:D100, Positions!E2:E100)</f>
        <v/>
      </c>
    </row>
    <row r="5">
      <c r="A5" t="inlineStr">
        <is>
          <t>Realized P/L (EUR)</t>
        </is>
      </c>
      <c r="B5">
        <f t="array" ref="B5">_xlfn.LET( _xlpm.list, _xlfn._xlws.SORT(_xlfn.UNIQUE(_xlfn._xlws.FILTER(Transactions!E:E,(Transactions!E:E&lt;&gt;"")*(ROW(Transactions!E:E)&gt;1)))), SUM( _xlfn.MAP(_xlpm.list, _xlfn.LAMBDA(_xlpm.isin, _xlfn.LET( _xlpm.b_amt, SUMIFS(Transactions!N:N,Transactions!E:E,_xlpm.isin,Transactions!B:B,"Buy"), _xlpm.b_qty, SUMIFS(Transactions!G:G,Transactions!E:E,_xlpm.isin,Transactions!B:B,"Buy"), _xlpm.s_qty, SUMIFS(Transactions!G:G,Transactions!E:E,_xlpm.isin,Transactions!B:B,"Sell"), _xlpm.proc,  SUMIFS(Transactions!N:N,Transactions!E:E,_xlpm.isin,Transactions!B:B,"Sell"), IFERROR(_xlpm.proc - _xlpm.s_qty * (-_xlpm.b_amt/_xlpm.b_qty), 0) ) ))) )</f>
        <v/>
      </c>
    </row>
    <row r="6">
      <c r="A6" t="inlineStr">
        <is>
          <t>Unrealized P/L (EUR)</t>
        </is>
      </c>
      <c r="B6">
        <f>B3-B4</f>
        <v/>
      </c>
    </row>
    <row r="7">
      <c r="A7" t="inlineStr">
        <is>
          <t>ETF Weight</t>
        </is>
      </c>
      <c r="B7" s="5">
        <f t="array" ref="B7">SUM(_xlfn._xlws.FILTER(Positions!K:K,(Positions!C:C="ETF")*(Positions!D:D&gt;0)))/B3</f>
        <v/>
      </c>
    </row>
    <row r="9">
      <c r="A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Zen</dc:creator>
  <dcterms:created xsi:type="dcterms:W3CDTF">2025-11-05T14:50:11Z</dcterms:created>
  <dcterms:modified xsi:type="dcterms:W3CDTF">2025-11-06T12:29:10Z</dcterms:modified>
  <cp:lastModifiedBy>Zen Mizuta</cp:lastModifiedBy>
</cp:coreProperties>
</file>